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niel.reynaga\Downloads\"/>
    </mc:Choice>
  </mc:AlternateContent>
  <xr:revisionPtr revIDLastSave="0" documentId="13_ncr:1_{ACF5787F-A1B5-4D81-A5DE-BB57E6AA85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onograma_Fase2" sheetId="1" r:id="rId1"/>
    <sheet name="Instrucciones" sheetId="2" r:id="rId2"/>
  </sheets>
  <definedNames>
    <definedName name="_xlnm._FilterDatabase" localSheetId="0" hidden="1">Cronograma_Fase2!$A$1:$L$81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0" i="1"/>
  <c r="H19" i="1"/>
  <c r="H18" i="1"/>
  <c r="H17" i="1"/>
  <c r="H16" i="1"/>
  <c r="H15" i="1"/>
  <c r="H14" i="1"/>
  <c r="H13" i="1"/>
  <c r="H1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41" i="1"/>
  <c r="H40" i="1"/>
  <c r="H39" i="1"/>
  <c r="H38" i="1"/>
  <c r="H37" i="1"/>
  <c r="H36" i="1"/>
  <c r="H35" i="1"/>
  <c r="H34" i="1"/>
  <c r="H33" i="1"/>
  <c r="H51" i="1"/>
  <c r="H50" i="1"/>
  <c r="H49" i="1"/>
  <c r="H48" i="1"/>
  <c r="H47" i="1"/>
  <c r="H46" i="1"/>
  <c r="H45" i="1"/>
  <c r="H44" i="1"/>
  <c r="H43" i="1"/>
  <c r="H42" i="1"/>
  <c r="H32" i="1"/>
</calcChain>
</file>

<file path=xl/sharedStrings.xml><?xml version="1.0" encoding="utf-8"?>
<sst xmlns="http://schemas.openxmlformats.org/spreadsheetml/2006/main" count="435" uniqueCount="67">
  <si>
    <t>Sucursal</t>
  </si>
  <si>
    <t>Fase</t>
  </si>
  <si>
    <t>Responsable</t>
  </si>
  <si>
    <t>Área</t>
  </si>
  <si>
    <t>Inicio Plan</t>
  </si>
  <si>
    <t>Fin Plan</t>
  </si>
  <si>
    <t>Inicio Real</t>
  </si>
  <si>
    <t>Fin Real</t>
  </si>
  <si>
    <t>Progreso Real %</t>
  </si>
  <si>
    <t>Progreso Planeado %</t>
  </si>
  <si>
    <t>Estatus</t>
  </si>
  <si>
    <t>Comentarios</t>
  </si>
  <si>
    <t>Tepexi de Rodríguez</t>
  </si>
  <si>
    <t>Análisis de gabinete</t>
  </si>
  <si>
    <t>Roberto Hoyos</t>
  </si>
  <si>
    <t>Expansión</t>
  </si>
  <si>
    <t>Completada</t>
  </si>
  <si>
    <t>Lomas de Angelópolis II</t>
  </si>
  <si>
    <t>En progreso</t>
  </si>
  <si>
    <t>Santo Tomás Chiautla</t>
  </si>
  <si>
    <t>Tehuacán</t>
  </si>
  <si>
    <t>Ciudad Mendoza</t>
  </si>
  <si>
    <t>Pendiente</t>
  </si>
  <si>
    <t>Apizaco</t>
  </si>
  <si>
    <t>Atlixco</t>
  </si>
  <si>
    <t>San Martín</t>
  </si>
  <si>
    <t>Xonacatepec</t>
  </si>
  <si>
    <t>Tepeaca</t>
  </si>
  <si>
    <t>Censo de Negocios</t>
  </si>
  <si>
    <t>Búsqueda de Bodegas / Predios</t>
  </si>
  <si>
    <t>Expansión / Jurídico</t>
  </si>
  <si>
    <t>Permisos / Anteproyecto</t>
  </si>
  <si>
    <t>Clemente / Pascual</t>
  </si>
  <si>
    <t>Jurídico / Obras</t>
  </si>
  <si>
    <t>Obra Civil / Remodelación</t>
  </si>
  <si>
    <t>Pascual</t>
  </si>
  <si>
    <t>Obras</t>
  </si>
  <si>
    <t>Contratación Personal</t>
  </si>
  <si>
    <t>Juana (R.R.H.H.)</t>
  </si>
  <si>
    <t>R.R.H.H.</t>
  </si>
  <si>
    <t>Capacitación Personal</t>
  </si>
  <si>
    <t>Aperturas</t>
  </si>
  <si>
    <t>Todos</t>
  </si>
  <si>
    <t>Dirección</t>
  </si>
  <si>
    <t>INSTRUCCIONES DE USO — CRONOGRAMA FASE 2</t>
  </si>
  <si>
    <t>COLUMNAS OBLIGATORIAS (no renombrar):</t>
  </si>
  <si>
    <t xml:space="preserve">  Sucursal         — Nombre exacto de la sucursal</t>
  </si>
  <si>
    <t xml:space="preserve">  Fase             — Nombre de la fase (ver lista)</t>
  </si>
  <si>
    <t xml:space="preserve">  Responsable      — Nombre del responsable</t>
  </si>
  <si>
    <t xml:space="preserve">  Área             — Área responsable</t>
  </si>
  <si>
    <t xml:space="preserve">  Inicio Plan      — Fecha inicio planeada (DD-MMM-YYYY)</t>
  </si>
  <si>
    <t xml:space="preserve">  Fin Plan         — Fecha fin planeada (DD-MMM-YYYY)</t>
  </si>
  <si>
    <t xml:space="preserve">  Inicio Real      — Fecha inicio real (dejar vacío si no ha iniciado)</t>
  </si>
  <si>
    <t xml:space="preserve">  Fin Real         — Fecha fin real (dejar vacío si no ha terminado)</t>
  </si>
  <si>
    <t xml:space="preserve">  Progreso Real %  — Porcentaje real (0% a 100%)</t>
  </si>
  <si>
    <t xml:space="preserve">  Progreso Planeado % — Porcentaje planeado a la fecha</t>
  </si>
  <si>
    <t xml:space="preserve">  Estatus          — Pendiente / En progreso / Completada</t>
  </si>
  <si>
    <t xml:space="preserve">  Comentarios      — Notas libres</t>
  </si>
  <si>
    <t>FASES VÁLIDAS:</t>
  </si>
  <si>
    <t xml:space="preserve">  • Análisis de gabinete</t>
  </si>
  <si>
    <t xml:space="preserve">  • Censo de Negocios</t>
  </si>
  <si>
    <t xml:space="preserve">  • Búsqueda de Bodegas / Predios</t>
  </si>
  <si>
    <t xml:space="preserve">  • Permisos / Anteproyecto</t>
  </si>
  <si>
    <t xml:space="preserve">  • Obra Civil / Remodelación</t>
  </si>
  <si>
    <t xml:space="preserve">  • Contratación Personal</t>
  </si>
  <si>
    <t xml:space="preserve">  • Capacitación Personal</t>
  </si>
  <si>
    <t xml:space="preserve">  • Aperturas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</si>
</sst>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1E293B"/>
      <name val="Calibri"/>
      <family val="2"/>
    </font>
    <font>
      <sz val="10"/>
      <color rgb="FF1E293B"/>
      <name val="Calibri"/>
      <family val="2"/>
    </font>
    <font>
      <sz val="11"/>
      <color rgb="FF1E293B"/>
      <name val="Calibri"/>
      <family val="2"/>
    </font>
    <font>
      <b/>
      <sz val="11"/>
      <color rgb="FF0066A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66A6"/>
      </patternFill>
    </fill>
    <fill>
      <patternFill patternType="solid">
        <fgColor rgb="FFF0F7FF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6F1FB"/>
      </patternFill>
    </fill>
  </fills>
  <borders count="19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medium">
        <color indexed="64"/>
      </left>
      <right style="thin">
        <color rgb="FFE2E8F0"/>
      </right>
      <top style="medium">
        <color indexed="64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indexed="64"/>
      </top>
      <bottom style="thin">
        <color rgb="FFE2E8F0"/>
      </bottom>
      <diagonal/>
    </border>
    <border>
      <left style="thin">
        <color rgb="FFE2E8F0"/>
      </left>
      <right style="medium">
        <color indexed="64"/>
      </right>
      <top style="medium">
        <color indexed="64"/>
      </top>
      <bottom style="thin">
        <color rgb="FFE2E8F0"/>
      </bottom>
      <diagonal/>
    </border>
    <border>
      <left style="medium">
        <color indexed="6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indexed="64"/>
      </right>
      <top style="thin">
        <color rgb="FFE2E8F0"/>
      </top>
      <bottom style="thin">
        <color rgb="FFE2E8F0"/>
      </bottom>
      <diagonal/>
    </border>
    <border>
      <left style="medium">
        <color indexed="64"/>
      </left>
      <right style="thin">
        <color rgb="FFE2E8F0"/>
      </right>
      <top style="thin">
        <color rgb="FFE2E8F0"/>
      </top>
      <bottom style="medium">
        <color indexed="64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medium">
        <color indexed="64"/>
      </bottom>
      <diagonal/>
    </border>
    <border>
      <left style="thin">
        <color rgb="FFE2E8F0"/>
      </left>
      <right style="medium">
        <color indexed="64"/>
      </right>
      <top style="thin">
        <color rgb="FFE2E8F0"/>
      </top>
      <bottom style="medium">
        <color indexed="64"/>
      </bottom>
      <diagonal/>
    </border>
    <border>
      <left style="thin">
        <color rgb="FFE2E8F0"/>
      </left>
      <right/>
      <top style="medium">
        <color indexed="64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medium">
        <color indexed="64"/>
      </bottom>
      <diagonal/>
    </border>
    <border>
      <left/>
      <right style="thin">
        <color rgb="FFE2E8F0"/>
      </right>
      <top style="medium">
        <color indexed="64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E2E8F0"/>
      </left>
      <right style="medium">
        <color indexed="64"/>
      </right>
      <top/>
      <bottom style="thin">
        <color rgb="FFE2E8F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center" vertical="center"/>
    </xf>
    <xf numFmtId="9" fontId="4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9" fontId="4" fillId="4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/>
    <xf numFmtId="0" fontId="4" fillId="3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164" fontId="4" fillId="3" borderId="5" xfId="0" applyNumberFormat="1" applyFont="1" applyFill="1" applyBorder="1" applyAlignment="1">
      <alignment horizontal="center" vertical="center"/>
    </xf>
    <xf numFmtId="9" fontId="4" fillId="3" borderId="5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164" fontId="4" fillId="3" borderId="10" xfId="0" applyNumberFormat="1" applyFont="1" applyFill="1" applyBorder="1" applyAlignment="1">
      <alignment horizontal="center" vertical="center"/>
    </xf>
    <xf numFmtId="9" fontId="4" fillId="3" borderId="10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left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164" fontId="4" fillId="4" borderId="5" xfId="0" applyNumberFormat="1" applyFont="1" applyFill="1" applyBorder="1" applyAlignment="1">
      <alignment horizontal="center" vertical="center"/>
    </xf>
    <xf numFmtId="9" fontId="4" fillId="4" borderId="5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3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/>
    </xf>
    <xf numFmtId="164" fontId="4" fillId="4" borderId="10" xfId="0" applyNumberFormat="1" applyFont="1" applyFill="1" applyBorder="1" applyAlignment="1">
      <alignment horizontal="center" vertical="center"/>
    </xf>
    <xf numFmtId="9" fontId="4" fillId="4" borderId="10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left" vertical="center"/>
    </xf>
    <xf numFmtId="0" fontId="4" fillId="3" borderId="12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left" vertical="center"/>
    </xf>
    <xf numFmtId="9" fontId="4" fillId="3" borderId="15" xfId="0" applyNumberFormat="1" applyFont="1" applyFill="1" applyBorder="1" applyAlignment="1">
      <alignment horizontal="center" vertical="center"/>
    </xf>
    <xf numFmtId="9" fontId="4" fillId="3" borderId="2" xfId="0" applyNumberFormat="1" applyFont="1" applyFill="1" applyBorder="1" applyAlignment="1">
      <alignment horizontal="center" vertical="center"/>
    </xf>
    <xf numFmtId="9" fontId="4" fillId="3" borderId="16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Border="1" applyAlignment="1">
      <alignment horizontal="center" vertical="center"/>
    </xf>
    <xf numFmtId="164" fontId="4" fillId="3" borderId="17" xfId="0" applyNumberFormat="1" applyFont="1" applyFill="1" applyBorder="1" applyAlignment="1">
      <alignment horizontal="center" vertical="center"/>
    </xf>
    <xf numFmtId="9" fontId="4" fillId="4" borderId="12" xfId="0" applyNumberFormat="1" applyFont="1" applyFill="1" applyBorder="1" applyAlignment="1">
      <alignment horizontal="center" vertical="center"/>
    </xf>
    <xf numFmtId="9" fontId="4" fillId="4" borderId="13" xfId="0" applyNumberFormat="1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left" vertical="center"/>
    </xf>
    <xf numFmtId="164" fontId="4" fillId="3" borderId="12" xfId="0" applyNumberFormat="1" applyFont="1" applyFill="1" applyBorder="1" applyAlignment="1">
      <alignment horizontal="center" vertical="center"/>
    </xf>
    <xf numFmtId="164" fontId="4" fillId="3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workbookViewId="0">
      <pane ySplit="1" topLeftCell="A12" activePane="bottomLeft" state="frozen"/>
      <selection pane="bottomLeft" activeCell="H22" sqref="H22:H25"/>
    </sheetView>
  </sheetViews>
  <sheetFormatPr defaultRowHeight="14.4" x14ac:dyDescent="0.3"/>
  <cols>
    <col min="1" max="1" width="24" customWidth="1"/>
    <col min="2" max="2" width="32" customWidth="1"/>
    <col min="3" max="3" width="22" customWidth="1"/>
    <col min="4" max="4" width="19" customWidth="1"/>
    <col min="5" max="8" width="14" customWidth="1"/>
    <col min="9" max="9" width="17" customWidth="1"/>
    <col min="10" max="10" width="18" customWidth="1"/>
    <col min="11" max="11" width="14" customWidth="1"/>
    <col min="12" max="12" width="30" customWidth="1"/>
  </cols>
  <sheetData>
    <row r="1" spans="1:12" ht="22.0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6.05" customHeight="1" x14ac:dyDescent="0.3">
      <c r="A2" s="14" t="s">
        <v>12</v>
      </c>
      <c r="B2" s="15" t="s">
        <v>13</v>
      </c>
      <c r="C2" s="15" t="s">
        <v>14</v>
      </c>
      <c r="D2" s="40" t="s">
        <v>15</v>
      </c>
      <c r="E2" s="46">
        <v>46113</v>
      </c>
      <c r="F2" s="46">
        <v>46132</v>
      </c>
      <c r="G2" s="46">
        <v>46113</v>
      </c>
      <c r="H2" s="46">
        <v>46157</v>
      </c>
      <c r="I2" s="43">
        <v>1</v>
      </c>
      <c r="J2" s="17"/>
      <c r="K2" s="18" t="s">
        <v>16</v>
      </c>
      <c r="L2" s="13"/>
    </row>
    <row r="3" spans="1:12" ht="16.05" customHeight="1" x14ac:dyDescent="0.3">
      <c r="A3" s="19" t="s">
        <v>17</v>
      </c>
      <c r="B3" s="2" t="s">
        <v>13</v>
      </c>
      <c r="C3" s="2" t="s">
        <v>14</v>
      </c>
      <c r="D3" s="41" t="s">
        <v>15</v>
      </c>
      <c r="E3" s="46">
        <v>46113</v>
      </c>
      <c r="F3" s="46">
        <v>46134</v>
      </c>
      <c r="G3" s="46">
        <v>46113</v>
      </c>
      <c r="H3" s="46">
        <v>46157</v>
      </c>
      <c r="I3" s="44">
        <v>1</v>
      </c>
      <c r="J3" s="4"/>
      <c r="K3" s="20" t="s">
        <v>16</v>
      </c>
      <c r="L3" s="13"/>
    </row>
    <row r="4" spans="1:12" ht="16.05" customHeight="1" x14ac:dyDescent="0.3">
      <c r="A4" s="19" t="s">
        <v>19</v>
      </c>
      <c r="B4" s="2" t="s">
        <v>13</v>
      </c>
      <c r="C4" s="2" t="s">
        <v>14</v>
      </c>
      <c r="D4" s="41" t="s">
        <v>15</v>
      </c>
      <c r="E4" s="46">
        <v>46118</v>
      </c>
      <c r="F4" s="46">
        <v>46136</v>
      </c>
      <c r="G4" s="46">
        <v>46118</v>
      </c>
      <c r="H4" s="46">
        <v>46209</v>
      </c>
      <c r="I4" s="44">
        <v>0.5</v>
      </c>
      <c r="J4" s="4"/>
      <c r="K4" s="20" t="s">
        <v>18</v>
      </c>
      <c r="L4" s="13"/>
    </row>
    <row r="5" spans="1:12" ht="16.05" customHeight="1" x14ac:dyDescent="0.3">
      <c r="A5" s="19" t="s">
        <v>20</v>
      </c>
      <c r="B5" s="2" t="s">
        <v>13</v>
      </c>
      <c r="C5" s="2" t="s">
        <v>14</v>
      </c>
      <c r="D5" s="41" t="s">
        <v>15</v>
      </c>
      <c r="E5" s="46">
        <v>46118</v>
      </c>
      <c r="F5" s="46">
        <v>46139</v>
      </c>
      <c r="G5" s="46">
        <v>46118</v>
      </c>
      <c r="H5" s="46">
        <v>46169</v>
      </c>
      <c r="I5" s="44">
        <v>1</v>
      </c>
      <c r="J5" s="4"/>
      <c r="K5" s="20" t="s">
        <v>16</v>
      </c>
      <c r="L5" s="13"/>
    </row>
    <row r="6" spans="1:12" ht="16.05" customHeight="1" x14ac:dyDescent="0.3">
      <c r="A6" s="19" t="s">
        <v>21</v>
      </c>
      <c r="B6" s="2" t="s">
        <v>13</v>
      </c>
      <c r="C6" s="2" t="s">
        <v>14</v>
      </c>
      <c r="D6" s="41" t="s">
        <v>15</v>
      </c>
      <c r="E6" s="46">
        <v>46125</v>
      </c>
      <c r="F6" s="46">
        <v>46141</v>
      </c>
      <c r="G6" s="46">
        <v>46125</v>
      </c>
      <c r="H6" s="46">
        <v>46213</v>
      </c>
      <c r="I6" s="44">
        <v>0.5</v>
      </c>
      <c r="J6" s="4"/>
      <c r="K6" s="20" t="s">
        <v>18</v>
      </c>
      <c r="L6" s="13"/>
    </row>
    <row r="7" spans="1:12" ht="16.05" customHeight="1" x14ac:dyDescent="0.3">
      <c r="A7" s="19" t="s">
        <v>23</v>
      </c>
      <c r="B7" s="2" t="s">
        <v>13</v>
      </c>
      <c r="C7" s="2" t="s">
        <v>14</v>
      </c>
      <c r="D7" s="41" t="s">
        <v>15</v>
      </c>
      <c r="E7" s="46">
        <v>46125</v>
      </c>
      <c r="F7" s="46">
        <v>46143</v>
      </c>
      <c r="G7" s="46">
        <v>46125</v>
      </c>
      <c r="H7" s="46">
        <v>46217</v>
      </c>
      <c r="I7" s="44">
        <v>0.5</v>
      </c>
      <c r="J7" s="4"/>
      <c r="K7" s="20" t="s">
        <v>18</v>
      </c>
      <c r="L7" s="13"/>
    </row>
    <row r="8" spans="1:12" ht="16.05" customHeight="1" x14ac:dyDescent="0.3">
      <c r="A8" s="19" t="s">
        <v>24</v>
      </c>
      <c r="B8" s="2" t="s">
        <v>13</v>
      </c>
      <c r="C8" s="2" t="s">
        <v>14</v>
      </c>
      <c r="D8" s="41" t="s">
        <v>15</v>
      </c>
      <c r="E8" s="46">
        <v>46132</v>
      </c>
      <c r="F8" s="46">
        <v>46146</v>
      </c>
      <c r="G8" s="46">
        <v>46132</v>
      </c>
      <c r="H8" s="46">
        <v>46220</v>
      </c>
      <c r="I8" s="44">
        <v>0.5</v>
      </c>
      <c r="J8" s="4"/>
      <c r="K8" s="20" t="s">
        <v>18</v>
      </c>
      <c r="L8" s="13"/>
    </row>
    <row r="9" spans="1:12" ht="16.05" customHeight="1" x14ac:dyDescent="0.3">
      <c r="A9" s="19" t="s">
        <v>25</v>
      </c>
      <c r="B9" s="2" t="s">
        <v>13</v>
      </c>
      <c r="C9" s="2" t="s">
        <v>14</v>
      </c>
      <c r="D9" s="41" t="s">
        <v>15</v>
      </c>
      <c r="E9" s="46">
        <v>46132</v>
      </c>
      <c r="F9" s="46">
        <v>46148</v>
      </c>
      <c r="G9" s="46">
        <v>46132</v>
      </c>
      <c r="H9" s="46">
        <v>46225</v>
      </c>
      <c r="I9" s="44">
        <v>0</v>
      </c>
      <c r="J9" s="4"/>
      <c r="K9" s="20" t="s">
        <v>22</v>
      </c>
      <c r="L9" s="13"/>
    </row>
    <row r="10" spans="1:12" ht="16.05" customHeight="1" x14ac:dyDescent="0.3">
      <c r="A10" s="19" t="s">
        <v>26</v>
      </c>
      <c r="B10" s="2" t="s">
        <v>13</v>
      </c>
      <c r="C10" s="2" t="s">
        <v>14</v>
      </c>
      <c r="D10" s="41" t="s">
        <v>15</v>
      </c>
      <c r="E10" s="46">
        <v>46139</v>
      </c>
      <c r="F10" s="46">
        <v>46150</v>
      </c>
      <c r="G10" s="46">
        <v>46139</v>
      </c>
      <c r="H10" s="46">
        <v>46230</v>
      </c>
      <c r="I10" s="44">
        <v>0</v>
      </c>
      <c r="J10" s="4"/>
      <c r="K10" s="20" t="s">
        <v>22</v>
      </c>
      <c r="L10" s="13"/>
    </row>
    <row r="11" spans="1:12" ht="16.05" customHeight="1" thickBot="1" x14ac:dyDescent="0.35">
      <c r="A11" s="21" t="s">
        <v>27</v>
      </c>
      <c r="B11" s="22" t="s">
        <v>13</v>
      </c>
      <c r="C11" s="22" t="s">
        <v>14</v>
      </c>
      <c r="D11" s="42" t="s">
        <v>15</v>
      </c>
      <c r="E11" s="47">
        <v>46139</v>
      </c>
      <c r="F11" s="47">
        <v>46153</v>
      </c>
      <c r="G11" s="47">
        <v>46139</v>
      </c>
      <c r="H11" s="47">
        <v>46234</v>
      </c>
      <c r="I11" s="45">
        <v>0</v>
      </c>
      <c r="J11" s="24"/>
      <c r="K11" s="25" t="s">
        <v>22</v>
      </c>
      <c r="L11" s="13"/>
    </row>
    <row r="12" spans="1:12" ht="16.05" customHeight="1" x14ac:dyDescent="0.3">
      <c r="A12" s="28" t="s">
        <v>12</v>
      </c>
      <c r="B12" s="29" t="s">
        <v>28</v>
      </c>
      <c r="C12" s="29" t="s">
        <v>14</v>
      </c>
      <c r="D12" s="29" t="s">
        <v>15</v>
      </c>
      <c r="E12" s="26">
        <v>46125</v>
      </c>
      <c r="F12" s="26">
        <v>46144</v>
      </c>
      <c r="G12" s="26">
        <v>46186</v>
      </c>
      <c r="H12" s="26">
        <f>WORKDAY(G12,NETWORKDAYS(E12,F12))</f>
        <v>46206</v>
      </c>
      <c r="I12" s="31">
        <v>1</v>
      </c>
      <c r="J12" s="48"/>
      <c r="K12" s="34" t="s">
        <v>16</v>
      </c>
      <c r="L12" s="27"/>
    </row>
    <row r="13" spans="1:12" ht="16.05" customHeight="1" x14ac:dyDescent="0.3">
      <c r="A13" s="33" t="s">
        <v>17</v>
      </c>
      <c r="B13" s="5" t="s">
        <v>28</v>
      </c>
      <c r="C13" s="5" t="s">
        <v>14</v>
      </c>
      <c r="D13" s="5" t="s">
        <v>15</v>
      </c>
      <c r="E13" s="6">
        <v>46181</v>
      </c>
      <c r="F13" s="6">
        <v>46200</v>
      </c>
      <c r="G13" s="6">
        <v>46242</v>
      </c>
      <c r="H13" s="26">
        <f t="shared" ref="H13:H21" si="0">WORKDAY(G13,NETWORKDAYS(E13,F13))</f>
        <v>46262</v>
      </c>
      <c r="I13" s="7">
        <v>1</v>
      </c>
      <c r="J13" s="49"/>
      <c r="K13" s="34" t="s">
        <v>16</v>
      </c>
      <c r="L13" s="27"/>
    </row>
    <row r="14" spans="1:12" ht="16.05" customHeight="1" x14ac:dyDescent="0.3">
      <c r="A14" s="33" t="s">
        <v>19</v>
      </c>
      <c r="B14" s="5" t="s">
        <v>28</v>
      </c>
      <c r="C14" s="5" t="s">
        <v>14</v>
      </c>
      <c r="D14" s="5" t="s">
        <v>15</v>
      </c>
      <c r="E14" s="6">
        <v>46209</v>
      </c>
      <c r="F14" s="6">
        <v>46228</v>
      </c>
      <c r="G14" s="6">
        <v>46271</v>
      </c>
      <c r="H14" s="26">
        <f t="shared" si="0"/>
        <v>46290</v>
      </c>
      <c r="I14" s="7">
        <v>0.4</v>
      </c>
      <c r="J14" s="7"/>
      <c r="K14" s="50" t="s">
        <v>18</v>
      </c>
      <c r="L14" s="27"/>
    </row>
    <row r="15" spans="1:12" ht="16.05" customHeight="1" x14ac:dyDescent="0.3">
      <c r="A15" s="33" t="s">
        <v>20</v>
      </c>
      <c r="B15" s="5" t="s">
        <v>28</v>
      </c>
      <c r="C15" s="5" t="s">
        <v>14</v>
      </c>
      <c r="D15" s="5" t="s">
        <v>15</v>
      </c>
      <c r="E15" s="6">
        <v>46237</v>
      </c>
      <c r="F15" s="6">
        <v>46263</v>
      </c>
      <c r="G15" s="6">
        <v>46298</v>
      </c>
      <c r="H15" s="26">
        <f t="shared" si="0"/>
        <v>46325</v>
      </c>
      <c r="I15" s="7">
        <v>0</v>
      </c>
      <c r="J15" s="7"/>
      <c r="K15" s="34" t="s">
        <v>22</v>
      </c>
      <c r="L15" s="27"/>
    </row>
    <row r="16" spans="1:12" ht="16.05" customHeight="1" x14ac:dyDescent="0.3">
      <c r="A16" s="33" t="s">
        <v>21</v>
      </c>
      <c r="B16" s="5" t="s">
        <v>28</v>
      </c>
      <c r="C16" s="5" t="s">
        <v>14</v>
      </c>
      <c r="D16" s="5" t="s">
        <v>15</v>
      </c>
      <c r="E16" s="6">
        <v>46272</v>
      </c>
      <c r="F16" s="6">
        <v>46291</v>
      </c>
      <c r="G16" s="6">
        <v>46333</v>
      </c>
      <c r="H16" s="26">
        <f t="shared" si="0"/>
        <v>46353</v>
      </c>
      <c r="I16" s="7">
        <v>0</v>
      </c>
      <c r="J16" s="7"/>
      <c r="K16" s="34" t="s">
        <v>22</v>
      </c>
      <c r="L16" s="27"/>
    </row>
    <row r="17" spans="1:12" ht="16.05" customHeight="1" x14ac:dyDescent="0.3">
      <c r="A17" s="33" t="s">
        <v>23</v>
      </c>
      <c r="B17" s="5" t="s">
        <v>28</v>
      </c>
      <c r="C17" s="5" t="s">
        <v>14</v>
      </c>
      <c r="D17" s="5" t="s">
        <v>15</v>
      </c>
      <c r="E17" s="6">
        <v>46300</v>
      </c>
      <c r="F17" s="6">
        <v>46319</v>
      </c>
      <c r="G17" s="6">
        <v>46361</v>
      </c>
      <c r="H17" s="26">
        <f t="shared" si="0"/>
        <v>46381</v>
      </c>
      <c r="I17" s="7">
        <v>0</v>
      </c>
      <c r="J17" s="7"/>
      <c r="K17" s="34" t="s">
        <v>22</v>
      </c>
      <c r="L17" s="27"/>
    </row>
    <row r="18" spans="1:12" ht="16.05" customHeight="1" x14ac:dyDescent="0.3">
      <c r="A18" s="33" t="s">
        <v>24</v>
      </c>
      <c r="B18" s="5" t="s">
        <v>28</v>
      </c>
      <c r="C18" s="5" t="s">
        <v>14</v>
      </c>
      <c r="D18" s="5" t="s">
        <v>15</v>
      </c>
      <c r="E18" s="6">
        <v>46328</v>
      </c>
      <c r="F18" s="6">
        <v>46347</v>
      </c>
      <c r="G18" s="6">
        <v>46389</v>
      </c>
      <c r="H18" s="26">
        <f t="shared" si="0"/>
        <v>46409</v>
      </c>
      <c r="I18" s="7">
        <v>0</v>
      </c>
      <c r="J18" s="7"/>
      <c r="K18" s="34" t="s">
        <v>22</v>
      </c>
      <c r="L18" s="27"/>
    </row>
    <row r="19" spans="1:12" ht="16.05" customHeight="1" x14ac:dyDescent="0.3">
      <c r="A19" s="33" t="s">
        <v>25</v>
      </c>
      <c r="B19" s="5" t="s">
        <v>28</v>
      </c>
      <c r="C19" s="5" t="s">
        <v>14</v>
      </c>
      <c r="D19" s="5" t="s">
        <v>15</v>
      </c>
      <c r="E19" s="6">
        <v>46356</v>
      </c>
      <c r="F19" s="6">
        <v>46375</v>
      </c>
      <c r="G19" s="6">
        <v>46417</v>
      </c>
      <c r="H19" s="26">
        <f t="shared" si="0"/>
        <v>46437</v>
      </c>
      <c r="I19" s="7">
        <v>0</v>
      </c>
      <c r="J19" s="7"/>
      <c r="K19" s="34" t="s">
        <v>22</v>
      </c>
      <c r="L19" s="27"/>
    </row>
    <row r="20" spans="1:12" ht="16.05" customHeight="1" x14ac:dyDescent="0.3">
      <c r="A20" s="33" t="s">
        <v>26</v>
      </c>
      <c r="B20" s="5" t="s">
        <v>28</v>
      </c>
      <c r="C20" s="5" t="s">
        <v>14</v>
      </c>
      <c r="D20" s="5" t="s">
        <v>15</v>
      </c>
      <c r="E20" s="6">
        <v>46384</v>
      </c>
      <c r="F20" s="6">
        <v>46410</v>
      </c>
      <c r="G20" s="6">
        <v>46446</v>
      </c>
      <c r="H20" s="26">
        <f t="shared" si="0"/>
        <v>46472</v>
      </c>
      <c r="I20" s="7">
        <v>0</v>
      </c>
      <c r="J20" s="7"/>
      <c r="K20" s="34" t="s">
        <v>22</v>
      </c>
      <c r="L20" s="27"/>
    </row>
    <row r="21" spans="1:12" ht="16.05" customHeight="1" thickBot="1" x14ac:dyDescent="0.35">
      <c r="A21" s="35" t="s">
        <v>27</v>
      </c>
      <c r="B21" s="36" t="s">
        <v>28</v>
      </c>
      <c r="C21" s="36" t="s">
        <v>14</v>
      </c>
      <c r="D21" s="36" t="s">
        <v>15</v>
      </c>
      <c r="E21" s="37">
        <v>46419</v>
      </c>
      <c r="F21" s="37">
        <v>46438</v>
      </c>
      <c r="G21" s="37">
        <v>46478</v>
      </c>
      <c r="H21" s="26">
        <f t="shared" si="0"/>
        <v>46499</v>
      </c>
      <c r="I21" s="38">
        <v>0</v>
      </c>
      <c r="J21" s="38"/>
      <c r="K21" s="39" t="s">
        <v>22</v>
      </c>
      <c r="L21" s="27"/>
    </row>
    <row r="22" spans="1:12" ht="16.05" customHeight="1" x14ac:dyDescent="0.3">
      <c r="A22" s="14" t="s">
        <v>12</v>
      </c>
      <c r="B22" s="15" t="s">
        <v>29</v>
      </c>
      <c r="C22" s="15" t="s">
        <v>14</v>
      </c>
      <c r="D22" s="15" t="s">
        <v>30</v>
      </c>
      <c r="E22" s="16">
        <v>46146</v>
      </c>
      <c r="F22" s="51">
        <v>46172</v>
      </c>
      <c r="G22" s="16">
        <v>46146</v>
      </c>
      <c r="H22" s="52">
        <v>46233</v>
      </c>
      <c r="I22" s="17">
        <v>0.5</v>
      </c>
      <c r="J22" s="17"/>
      <c r="K22" s="18" t="s">
        <v>18</v>
      </c>
      <c r="L22" s="13"/>
    </row>
    <row r="23" spans="1:12" ht="16.05" customHeight="1" x14ac:dyDescent="0.3">
      <c r="A23" s="19" t="s">
        <v>17</v>
      </c>
      <c r="B23" s="2" t="s">
        <v>29</v>
      </c>
      <c r="C23" s="2" t="s">
        <v>14</v>
      </c>
      <c r="D23" s="2" t="s">
        <v>30</v>
      </c>
      <c r="E23" s="3">
        <v>46209</v>
      </c>
      <c r="F23" s="3">
        <v>46235</v>
      </c>
      <c r="G23" s="3">
        <v>46209</v>
      </c>
      <c r="H23" s="3">
        <v>46296</v>
      </c>
      <c r="I23" s="4">
        <v>0.4</v>
      </c>
      <c r="J23" s="4"/>
      <c r="K23" s="20" t="s">
        <v>18</v>
      </c>
      <c r="L23" s="13"/>
    </row>
    <row r="24" spans="1:12" ht="16.05" customHeight="1" x14ac:dyDescent="0.3">
      <c r="A24" s="19" t="s">
        <v>19</v>
      </c>
      <c r="B24" s="2" t="s">
        <v>29</v>
      </c>
      <c r="C24" s="2" t="s">
        <v>14</v>
      </c>
      <c r="D24" s="2" t="s">
        <v>30</v>
      </c>
      <c r="E24" s="3">
        <v>46244</v>
      </c>
      <c r="F24" s="3">
        <v>46277</v>
      </c>
      <c r="G24" s="3">
        <v>46244</v>
      </c>
      <c r="H24" s="3">
        <v>46338</v>
      </c>
      <c r="I24" s="4">
        <v>0.1</v>
      </c>
      <c r="J24" s="4"/>
      <c r="K24" s="20" t="s">
        <v>18</v>
      </c>
      <c r="L24" s="13"/>
    </row>
    <row r="25" spans="1:12" ht="16.05" customHeight="1" x14ac:dyDescent="0.3">
      <c r="A25" s="19" t="s">
        <v>20</v>
      </c>
      <c r="B25" s="2" t="s">
        <v>29</v>
      </c>
      <c r="C25" s="2" t="s">
        <v>14</v>
      </c>
      <c r="D25" s="2" t="s">
        <v>30</v>
      </c>
      <c r="E25" s="3">
        <v>46286</v>
      </c>
      <c r="F25" s="3">
        <v>46312</v>
      </c>
      <c r="G25" s="3">
        <v>46286</v>
      </c>
      <c r="H25" s="3">
        <v>46373</v>
      </c>
      <c r="I25" s="4">
        <v>0</v>
      </c>
      <c r="J25" s="4"/>
      <c r="K25" s="20" t="s">
        <v>22</v>
      </c>
      <c r="L25" s="13"/>
    </row>
    <row r="26" spans="1:12" ht="16.05" customHeight="1" x14ac:dyDescent="0.3">
      <c r="A26" s="19" t="s">
        <v>21</v>
      </c>
      <c r="B26" s="2" t="s">
        <v>29</v>
      </c>
      <c r="C26" s="2" t="s">
        <v>14</v>
      </c>
      <c r="D26" s="2" t="s">
        <v>30</v>
      </c>
      <c r="E26" s="3">
        <v>46321</v>
      </c>
      <c r="F26" s="3">
        <v>46347</v>
      </c>
      <c r="G26" s="3">
        <v>46321</v>
      </c>
      <c r="H26" s="3">
        <v>46408</v>
      </c>
      <c r="I26" s="4">
        <v>0</v>
      </c>
      <c r="J26" s="4"/>
      <c r="K26" s="20" t="s">
        <v>22</v>
      </c>
      <c r="L26" s="13"/>
    </row>
    <row r="27" spans="1:12" ht="16.05" customHeight="1" x14ac:dyDescent="0.3">
      <c r="A27" s="19" t="s">
        <v>23</v>
      </c>
      <c r="B27" s="2" t="s">
        <v>29</v>
      </c>
      <c r="C27" s="2" t="s">
        <v>14</v>
      </c>
      <c r="D27" s="2" t="s">
        <v>30</v>
      </c>
      <c r="E27" s="3">
        <v>46356</v>
      </c>
      <c r="F27" s="3">
        <v>46382</v>
      </c>
      <c r="G27" s="3">
        <v>46356</v>
      </c>
      <c r="H27" s="3">
        <v>46444</v>
      </c>
      <c r="I27" s="4">
        <v>0</v>
      </c>
      <c r="J27" s="4"/>
      <c r="K27" s="20" t="s">
        <v>22</v>
      </c>
      <c r="L27" s="13"/>
    </row>
    <row r="28" spans="1:12" ht="16.05" customHeight="1" x14ac:dyDescent="0.3">
      <c r="A28" s="19" t="s">
        <v>24</v>
      </c>
      <c r="B28" s="2" t="s">
        <v>29</v>
      </c>
      <c r="C28" s="2" t="s">
        <v>14</v>
      </c>
      <c r="D28" s="2" t="s">
        <v>30</v>
      </c>
      <c r="E28" s="3">
        <v>46391</v>
      </c>
      <c r="F28" s="3">
        <v>46417</v>
      </c>
      <c r="G28" s="3">
        <v>46391</v>
      </c>
      <c r="H28" s="3">
        <v>46476</v>
      </c>
      <c r="I28" s="4">
        <v>0</v>
      </c>
      <c r="J28" s="4"/>
      <c r="K28" s="20" t="s">
        <v>22</v>
      </c>
      <c r="L28" s="13"/>
    </row>
    <row r="29" spans="1:12" ht="16.05" customHeight="1" x14ac:dyDescent="0.3">
      <c r="A29" s="19" t="s">
        <v>25</v>
      </c>
      <c r="B29" s="2" t="s">
        <v>29</v>
      </c>
      <c r="C29" s="2" t="s">
        <v>14</v>
      </c>
      <c r="D29" s="2" t="s">
        <v>30</v>
      </c>
      <c r="E29" s="3">
        <v>46426</v>
      </c>
      <c r="F29" s="3">
        <v>46452</v>
      </c>
      <c r="G29" s="3">
        <v>46426</v>
      </c>
      <c r="H29" s="3">
        <v>46513</v>
      </c>
      <c r="I29" s="4">
        <v>0</v>
      </c>
      <c r="J29" s="4"/>
      <c r="K29" s="20" t="s">
        <v>22</v>
      </c>
      <c r="L29" s="13"/>
    </row>
    <row r="30" spans="1:12" ht="16.05" customHeight="1" x14ac:dyDescent="0.3">
      <c r="A30" s="19" t="s">
        <v>26</v>
      </c>
      <c r="B30" s="2" t="s">
        <v>29</v>
      </c>
      <c r="C30" s="2" t="s">
        <v>14</v>
      </c>
      <c r="D30" s="2" t="s">
        <v>30</v>
      </c>
      <c r="E30" s="3">
        <v>46461</v>
      </c>
      <c r="F30" s="3">
        <v>46487</v>
      </c>
      <c r="G30" s="3">
        <v>46461</v>
      </c>
      <c r="H30" s="3">
        <v>46548</v>
      </c>
      <c r="I30" s="4">
        <v>0</v>
      </c>
      <c r="J30" s="4"/>
      <c r="K30" s="20" t="s">
        <v>22</v>
      </c>
      <c r="L30" s="13"/>
    </row>
    <row r="31" spans="1:12" ht="16.05" customHeight="1" thickBot="1" x14ac:dyDescent="0.35">
      <c r="A31" s="21" t="s">
        <v>27</v>
      </c>
      <c r="B31" s="22" t="s">
        <v>29</v>
      </c>
      <c r="C31" s="22" t="s">
        <v>14</v>
      </c>
      <c r="D31" s="22" t="s">
        <v>30</v>
      </c>
      <c r="E31" s="23">
        <v>46496</v>
      </c>
      <c r="F31" s="23">
        <v>46522</v>
      </c>
      <c r="G31" s="23">
        <v>46496</v>
      </c>
      <c r="H31" s="23">
        <v>46570</v>
      </c>
      <c r="I31" s="24">
        <v>0</v>
      </c>
      <c r="J31" s="24"/>
      <c r="K31" s="25" t="s">
        <v>22</v>
      </c>
      <c r="L31" s="13"/>
    </row>
    <row r="32" spans="1:12" ht="16.05" customHeight="1" thickBot="1" x14ac:dyDescent="0.35">
      <c r="A32" s="28" t="s">
        <v>12</v>
      </c>
      <c r="B32" s="29" t="s">
        <v>31</v>
      </c>
      <c r="C32" s="29" t="s">
        <v>32</v>
      </c>
      <c r="D32" s="29" t="s">
        <v>33</v>
      </c>
      <c r="E32" s="30">
        <v>46174</v>
      </c>
      <c r="F32" s="30">
        <v>46256</v>
      </c>
      <c r="G32" s="30">
        <v>46235</v>
      </c>
      <c r="H32" s="30">
        <f>WORKDAY(G32,NETWORKDAYS(E32,F32))</f>
        <v>46318</v>
      </c>
      <c r="I32" s="31">
        <v>0</v>
      </c>
      <c r="J32" s="31"/>
      <c r="K32" s="32" t="s">
        <v>18</v>
      </c>
      <c r="L32" s="27"/>
    </row>
    <row r="33" spans="1:12" ht="16.05" customHeight="1" thickBot="1" x14ac:dyDescent="0.35">
      <c r="A33" s="33" t="s">
        <v>17</v>
      </c>
      <c r="B33" s="5" t="s">
        <v>31</v>
      </c>
      <c r="C33" s="5" t="s">
        <v>32</v>
      </c>
      <c r="D33" s="5" t="s">
        <v>33</v>
      </c>
      <c r="E33" s="6">
        <v>46237</v>
      </c>
      <c r="F33" s="6">
        <v>46319</v>
      </c>
      <c r="G33" s="6">
        <v>46298</v>
      </c>
      <c r="H33" s="30">
        <f t="shared" ref="H33:H40" si="1">WORKDAY(G33,NETWORKDAYS(E33,F33))</f>
        <v>46381</v>
      </c>
      <c r="I33" s="7">
        <v>0</v>
      </c>
      <c r="J33" s="7"/>
      <c r="K33" s="34" t="s">
        <v>22</v>
      </c>
      <c r="L33" s="27"/>
    </row>
    <row r="34" spans="1:12" ht="16.05" customHeight="1" thickBot="1" x14ac:dyDescent="0.35">
      <c r="A34" s="33" t="s">
        <v>19</v>
      </c>
      <c r="B34" s="5" t="s">
        <v>31</v>
      </c>
      <c r="C34" s="5" t="s">
        <v>32</v>
      </c>
      <c r="D34" s="5" t="s">
        <v>33</v>
      </c>
      <c r="E34" s="6">
        <v>46279</v>
      </c>
      <c r="F34" s="6">
        <v>46361</v>
      </c>
      <c r="G34" s="6">
        <v>46340</v>
      </c>
      <c r="H34" s="30">
        <f t="shared" si="1"/>
        <v>46423</v>
      </c>
      <c r="I34" s="7">
        <v>0</v>
      </c>
      <c r="J34" s="7"/>
      <c r="K34" s="34" t="s">
        <v>22</v>
      </c>
      <c r="L34" s="27"/>
    </row>
    <row r="35" spans="1:12" ht="16.05" customHeight="1" thickBot="1" x14ac:dyDescent="0.35">
      <c r="A35" s="33" t="s">
        <v>20</v>
      </c>
      <c r="B35" s="5" t="s">
        <v>31</v>
      </c>
      <c r="C35" s="5" t="s">
        <v>32</v>
      </c>
      <c r="D35" s="5" t="s">
        <v>33</v>
      </c>
      <c r="E35" s="6">
        <v>46314</v>
      </c>
      <c r="F35" s="6">
        <v>46396</v>
      </c>
      <c r="G35" s="6">
        <v>46375</v>
      </c>
      <c r="H35" s="30">
        <f t="shared" si="1"/>
        <v>46458</v>
      </c>
      <c r="I35" s="7">
        <v>0</v>
      </c>
      <c r="J35" s="7"/>
      <c r="K35" s="34" t="s">
        <v>22</v>
      </c>
      <c r="L35" s="27"/>
    </row>
    <row r="36" spans="1:12" ht="16.05" customHeight="1" thickBot="1" x14ac:dyDescent="0.35">
      <c r="A36" s="33" t="s">
        <v>21</v>
      </c>
      <c r="B36" s="5" t="s">
        <v>31</v>
      </c>
      <c r="C36" s="5" t="s">
        <v>32</v>
      </c>
      <c r="D36" s="5" t="s">
        <v>33</v>
      </c>
      <c r="E36" s="6">
        <v>46349</v>
      </c>
      <c r="F36" s="6">
        <v>46431</v>
      </c>
      <c r="G36" s="6">
        <v>46410</v>
      </c>
      <c r="H36" s="30">
        <f t="shared" si="1"/>
        <v>46493</v>
      </c>
      <c r="I36" s="7">
        <v>0</v>
      </c>
      <c r="J36" s="7"/>
      <c r="K36" s="34" t="s">
        <v>22</v>
      </c>
      <c r="L36" s="27"/>
    </row>
    <row r="37" spans="1:12" ht="16.05" customHeight="1" thickBot="1" x14ac:dyDescent="0.35">
      <c r="A37" s="33" t="s">
        <v>23</v>
      </c>
      <c r="B37" s="5" t="s">
        <v>31</v>
      </c>
      <c r="C37" s="5" t="s">
        <v>32</v>
      </c>
      <c r="D37" s="5" t="s">
        <v>33</v>
      </c>
      <c r="E37" s="6">
        <v>46384</v>
      </c>
      <c r="F37" s="6">
        <v>46466</v>
      </c>
      <c r="G37" s="6">
        <v>46446</v>
      </c>
      <c r="H37" s="30">
        <f t="shared" si="1"/>
        <v>46528</v>
      </c>
      <c r="I37" s="7">
        <v>0</v>
      </c>
      <c r="J37" s="7"/>
      <c r="K37" s="34" t="s">
        <v>22</v>
      </c>
      <c r="L37" s="27"/>
    </row>
    <row r="38" spans="1:12" ht="16.05" customHeight="1" thickBot="1" x14ac:dyDescent="0.35">
      <c r="A38" s="33" t="s">
        <v>24</v>
      </c>
      <c r="B38" s="5" t="s">
        <v>31</v>
      </c>
      <c r="C38" s="5" t="s">
        <v>32</v>
      </c>
      <c r="D38" s="5" t="s">
        <v>33</v>
      </c>
      <c r="E38" s="6">
        <v>46419</v>
      </c>
      <c r="F38" s="6">
        <v>46501</v>
      </c>
      <c r="G38" s="6">
        <v>46478</v>
      </c>
      <c r="H38" s="30">
        <f t="shared" si="1"/>
        <v>46562</v>
      </c>
      <c r="I38" s="7">
        <v>0</v>
      </c>
      <c r="J38" s="7"/>
      <c r="K38" s="34" t="s">
        <v>22</v>
      </c>
      <c r="L38" s="27"/>
    </row>
    <row r="39" spans="1:12" ht="16.05" customHeight="1" thickBot="1" x14ac:dyDescent="0.35">
      <c r="A39" s="33" t="s">
        <v>25</v>
      </c>
      <c r="B39" s="5" t="s">
        <v>31</v>
      </c>
      <c r="C39" s="5" t="s">
        <v>32</v>
      </c>
      <c r="D39" s="5" t="s">
        <v>33</v>
      </c>
      <c r="E39" s="6">
        <v>46454</v>
      </c>
      <c r="F39" s="6">
        <v>46536</v>
      </c>
      <c r="G39" s="6">
        <v>46515</v>
      </c>
      <c r="H39" s="30">
        <f t="shared" si="1"/>
        <v>46598</v>
      </c>
      <c r="I39" s="7">
        <v>0</v>
      </c>
      <c r="J39" s="7"/>
      <c r="K39" s="34" t="s">
        <v>22</v>
      </c>
      <c r="L39" s="27"/>
    </row>
    <row r="40" spans="1:12" ht="16.05" customHeight="1" thickBot="1" x14ac:dyDescent="0.35">
      <c r="A40" s="33" t="s">
        <v>26</v>
      </c>
      <c r="B40" s="5" t="s">
        <v>31</v>
      </c>
      <c r="C40" s="5" t="s">
        <v>32</v>
      </c>
      <c r="D40" s="5" t="s">
        <v>33</v>
      </c>
      <c r="E40" s="6">
        <v>46489</v>
      </c>
      <c r="F40" s="6">
        <v>46571</v>
      </c>
      <c r="G40" s="6">
        <v>46550</v>
      </c>
      <c r="H40" s="30">
        <f t="shared" si="1"/>
        <v>46633</v>
      </c>
      <c r="I40" s="7">
        <v>0</v>
      </c>
      <c r="J40" s="7"/>
      <c r="K40" s="34" t="s">
        <v>22</v>
      </c>
      <c r="L40" s="27"/>
    </row>
    <row r="41" spans="1:12" ht="16.05" customHeight="1" thickBot="1" x14ac:dyDescent="0.35">
      <c r="A41" s="35" t="s">
        <v>27</v>
      </c>
      <c r="B41" s="36" t="s">
        <v>31</v>
      </c>
      <c r="C41" s="36" t="s">
        <v>32</v>
      </c>
      <c r="D41" s="36" t="s">
        <v>33</v>
      </c>
      <c r="E41" s="37">
        <v>46524</v>
      </c>
      <c r="F41" s="37">
        <v>46606</v>
      </c>
      <c r="G41" s="6">
        <v>46585</v>
      </c>
      <c r="H41" s="30">
        <f>WORKDAY(G41,NETWORKDAYS(E41,F41))</f>
        <v>46668</v>
      </c>
      <c r="I41" s="38">
        <v>0</v>
      </c>
      <c r="J41" s="38"/>
      <c r="K41" s="39" t="s">
        <v>22</v>
      </c>
      <c r="L41" s="27"/>
    </row>
    <row r="42" spans="1:12" ht="16.05" customHeight="1" x14ac:dyDescent="0.3">
      <c r="A42" s="14" t="s">
        <v>12</v>
      </c>
      <c r="B42" s="15" t="s">
        <v>34</v>
      </c>
      <c r="C42" s="15" t="s">
        <v>35</v>
      </c>
      <c r="D42" s="15" t="s">
        <v>36</v>
      </c>
      <c r="E42" s="16">
        <v>46230</v>
      </c>
      <c r="F42" s="16">
        <v>46340</v>
      </c>
      <c r="G42" s="16">
        <v>46292</v>
      </c>
      <c r="H42" s="30">
        <f>WORKDAY(G42,NETWORKDAYS(E42,F42))</f>
        <v>46402</v>
      </c>
      <c r="I42" s="17">
        <v>0</v>
      </c>
      <c r="J42" s="17"/>
      <c r="K42" s="18" t="s">
        <v>18</v>
      </c>
      <c r="L42" s="13"/>
    </row>
    <row r="43" spans="1:12" ht="16.05" customHeight="1" x14ac:dyDescent="0.3">
      <c r="A43" s="19" t="s">
        <v>17</v>
      </c>
      <c r="B43" s="2" t="s">
        <v>34</v>
      </c>
      <c r="C43" s="2" t="s">
        <v>35</v>
      </c>
      <c r="D43" s="2" t="s">
        <v>36</v>
      </c>
      <c r="E43" s="3">
        <v>46293</v>
      </c>
      <c r="F43" s="3">
        <v>46375</v>
      </c>
      <c r="G43" s="3">
        <v>46354</v>
      </c>
      <c r="H43" s="3">
        <f>WORKDAY(G43,NETWORKDAYS(E43,F43))</f>
        <v>46437</v>
      </c>
      <c r="I43" s="4">
        <v>0</v>
      </c>
      <c r="J43" s="4"/>
      <c r="K43" s="20" t="s">
        <v>22</v>
      </c>
      <c r="L43" s="13"/>
    </row>
    <row r="44" spans="1:12" ht="16.05" customHeight="1" x14ac:dyDescent="0.3">
      <c r="A44" s="19" t="s">
        <v>19</v>
      </c>
      <c r="B44" s="2" t="s">
        <v>34</v>
      </c>
      <c r="C44" s="2" t="s">
        <v>35</v>
      </c>
      <c r="D44" s="2" t="s">
        <v>36</v>
      </c>
      <c r="E44" s="3">
        <v>46335</v>
      </c>
      <c r="F44" s="3">
        <v>46445</v>
      </c>
      <c r="G44" s="3">
        <v>46396</v>
      </c>
      <c r="H44" s="3">
        <f t="shared" ref="H44:H51" si="2">WORKDAY(G44,NETWORKDAYS(E44,F44))</f>
        <v>46507</v>
      </c>
      <c r="I44" s="4">
        <v>0</v>
      </c>
      <c r="J44" s="4"/>
      <c r="K44" s="20" t="s">
        <v>22</v>
      </c>
      <c r="L44" s="13"/>
    </row>
    <row r="45" spans="1:12" ht="16.05" customHeight="1" x14ac:dyDescent="0.3">
      <c r="A45" s="19" t="s">
        <v>20</v>
      </c>
      <c r="B45" s="2" t="s">
        <v>34</v>
      </c>
      <c r="C45" s="2" t="s">
        <v>35</v>
      </c>
      <c r="D45" s="2" t="s">
        <v>36</v>
      </c>
      <c r="E45" s="3">
        <v>46370</v>
      </c>
      <c r="F45" s="3">
        <v>46480</v>
      </c>
      <c r="G45" s="3">
        <v>46432</v>
      </c>
      <c r="H45" s="3">
        <f t="shared" si="2"/>
        <v>46542</v>
      </c>
      <c r="I45" s="4">
        <v>0</v>
      </c>
      <c r="J45" s="4"/>
      <c r="K45" s="20" t="s">
        <v>22</v>
      </c>
      <c r="L45" s="13"/>
    </row>
    <row r="46" spans="1:12" ht="16.05" customHeight="1" x14ac:dyDescent="0.3">
      <c r="A46" s="19" t="s">
        <v>21</v>
      </c>
      <c r="B46" s="2" t="s">
        <v>34</v>
      </c>
      <c r="C46" s="2" t="s">
        <v>35</v>
      </c>
      <c r="D46" s="2" t="s">
        <v>36</v>
      </c>
      <c r="E46" s="3">
        <v>46405</v>
      </c>
      <c r="F46" s="3">
        <v>46515</v>
      </c>
      <c r="G46" s="3">
        <v>46464</v>
      </c>
      <c r="H46" s="3">
        <f t="shared" si="2"/>
        <v>46576</v>
      </c>
      <c r="I46" s="4">
        <v>0</v>
      </c>
      <c r="J46" s="4"/>
      <c r="K46" s="20" t="s">
        <v>22</v>
      </c>
      <c r="L46" s="13"/>
    </row>
    <row r="47" spans="1:12" ht="16.05" customHeight="1" x14ac:dyDescent="0.3">
      <c r="A47" s="19" t="s">
        <v>23</v>
      </c>
      <c r="B47" s="2" t="s">
        <v>34</v>
      </c>
      <c r="C47" s="2" t="s">
        <v>35</v>
      </c>
      <c r="D47" s="2" t="s">
        <v>36</v>
      </c>
      <c r="E47" s="3">
        <v>46440</v>
      </c>
      <c r="F47" s="3">
        <v>46550</v>
      </c>
      <c r="G47" s="3">
        <v>46499</v>
      </c>
      <c r="H47" s="3">
        <f t="shared" si="2"/>
        <v>46611</v>
      </c>
      <c r="I47" s="4">
        <v>0</v>
      </c>
      <c r="J47" s="4"/>
      <c r="K47" s="20" t="s">
        <v>22</v>
      </c>
      <c r="L47" s="13"/>
    </row>
    <row r="48" spans="1:12" ht="16.05" customHeight="1" x14ac:dyDescent="0.3">
      <c r="A48" s="19" t="s">
        <v>24</v>
      </c>
      <c r="B48" s="2" t="s">
        <v>34</v>
      </c>
      <c r="C48" s="2" t="s">
        <v>35</v>
      </c>
      <c r="D48" s="2" t="s">
        <v>36</v>
      </c>
      <c r="E48" s="3">
        <v>46475</v>
      </c>
      <c r="F48" s="3">
        <v>46585</v>
      </c>
      <c r="G48" s="3">
        <v>46536</v>
      </c>
      <c r="H48" s="3">
        <f t="shared" si="2"/>
        <v>46647</v>
      </c>
      <c r="I48" s="4">
        <v>0</v>
      </c>
      <c r="J48" s="4"/>
      <c r="K48" s="20" t="s">
        <v>22</v>
      </c>
      <c r="L48" s="13"/>
    </row>
    <row r="49" spans="1:12" ht="16.05" customHeight="1" x14ac:dyDescent="0.3">
      <c r="A49" s="19" t="s">
        <v>25</v>
      </c>
      <c r="B49" s="2" t="s">
        <v>34</v>
      </c>
      <c r="C49" s="2" t="s">
        <v>35</v>
      </c>
      <c r="D49" s="2" t="s">
        <v>36</v>
      </c>
      <c r="E49" s="3">
        <v>46510</v>
      </c>
      <c r="F49" s="3">
        <v>46620</v>
      </c>
      <c r="G49" s="3">
        <v>46571</v>
      </c>
      <c r="H49" s="3">
        <f t="shared" si="2"/>
        <v>46682</v>
      </c>
      <c r="I49" s="4">
        <v>0</v>
      </c>
      <c r="J49" s="4"/>
      <c r="K49" s="20" t="s">
        <v>22</v>
      </c>
      <c r="L49" s="13"/>
    </row>
    <row r="50" spans="1:12" ht="16.05" customHeight="1" x14ac:dyDescent="0.3">
      <c r="A50" s="19" t="s">
        <v>26</v>
      </c>
      <c r="B50" s="2" t="s">
        <v>34</v>
      </c>
      <c r="C50" s="2" t="s">
        <v>35</v>
      </c>
      <c r="D50" s="2" t="s">
        <v>36</v>
      </c>
      <c r="E50" s="3">
        <v>46545</v>
      </c>
      <c r="F50" s="3">
        <v>46655</v>
      </c>
      <c r="G50" s="3">
        <v>46606</v>
      </c>
      <c r="H50" s="3">
        <f t="shared" si="2"/>
        <v>46717</v>
      </c>
      <c r="I50" s="4">
        <v>0</v>
      </c>
      <c r="J50" s="4"/>
      <c r="K50" s="20" t="s">
        <v>22</v>
      </c>
      <c r="L50" s="13"/>
    </row>
    <row r="51" spans="1:12" ht="16.05" customHeight="1" thickBot="1" x14ac:dyDescent="0.35">
      <c r="A51" s="21" t="s">
        <v>27</v>
      </c>
      <c r="B51" s="22" t="s">
        <v>34</v>
      </c>
      <c r="C51" s="22" t="s">
        <v>35</v>
      </c>
      <c r="D51" s="22" t="s">
        <v>36</v>
      </c>
      <c r="E51" s="23">
        <v>46580</v>
      </c>
      <c r="F51" s="23">
        <v>46690</v>
      </c>
      <c r="G51" s="23">
        <v>46642</v>
      </c>
      <c r="H51" s="3">
        <f t="shared" si="2"/>
        <v>46752</v>
      </c>
      <c r="I51" s="24">
        <v>0</v>
      </c>
      <c r="J51" s="24"/>
      <c r="K51" s="25" t="s">
        <v>22</v>
      </c>
      <c r="L51" s="13"/>
    </row>
    <row r="52" spans="1:12" ht="16.05" customHeight="1" thickBot="1" x14ac:dyDescent="0.35">
      <c r="A52" s="28" t="s">
        <v>12</v>
      </c>
      <c r="B52" s="29" t="s">
        <v>37</v>
      </c>
      <c r="C52" s="29" t="s">
        <v>38</v>
      </c>
      <c r="D52" s="29" t="s">
        <v>39</v>
      </c>
      <c r="E52" s="30">
        <v>46230</v>
      </c>
      <c r="F52" s="30">
        <v>46284</v>
      </c>
      <c r="G52" s="30">
        <v>46292</v>
      </c>
      <c r="H52" s="30">
        <f>WORKDAY(G52,NETWORKDAYS(E52,F52))</f>
        <v>46346</v>
      </c>
      <c r="I52" s="31">
        <v>0</v>
      </c>
      <c r="J52" s="31"/>
      <c r="K52" s="32" t="s">
        <v>22</v>
      </c>
      <c r="L52" s="27"/>
    </row>
    <row r="53" spans="1:12" ht="16.05" customHeight="1" thickBot="1" x14ac:dyDescent="0.35">
      <c r="A53" s="33" t="s">
        <v>17</v>
      </c>
      <c r="B53" s="5" t="s">
        <v>37</v>
      </c>
      <c r="C53" s="5" t="s">
        <v>38</v>
      </c>
      <c r="D53" s="5" t="s">
        <v>39</v>
      </c>
      <c r="E53" s="6">
        <v>46307</v>
      </c>
      <c r="F53" s="6">
        <v>46361</v>
      </c>
      <c r="G53" s="6">
        <v>46368</v>
      </c>
      <c r="H53" s="30">
        <f t="shared" ref="H53:H60" si="3">WORKDAY(G53,NETWORKDAYS(E53,F53))</f>
        <v>46423</v>
      </c>
      <c r="I53" s="7">
        <v>0</v>
      </c>
      <c r="J53" s="7"/>
      <c r="K53" s="34" t="s">
        <v>22</v>
      </c>
      <c r="L53" s="27"/>
    </row>
    <row r="54" spans="1:12" ht="16.05" customHeight="1" thickBot="1" x14ac:dyDescent="0.35">
      <c r="A54" s="33" t="s">
        <v>19</v>
      </c>
      <c r="B54" s="5" t="s">
        <v>37</v>
      </c>
      <c r="C54" s="5" t="s">
        <v>38</v>
      </c>
      <c r="D54" s="5" t="s">
        <v>39</v>
      </c>
      <c r="E54" s="6">
        <v>46335</v>
      </c>
      <c r="F54" s="6">
        <v>46389</v>
      </c>
      <c r="G54" s="6">
        <v>46396</v>
      </c>
      <c r="H54" s="30">
        <f t="shared" si="3"/>
        <v>46451</v>
      </c>
      <c r="I54" s="7">
        <v>0</v>
      </c>
      <c r="J54" s="7"/>
      <c r="K54" s="34" t="s">
        <v>22</v>
      </c>
      <c r="L54" s="27"/>
    </row>
    <row r="55" spans="1:12" ht="16.05" customHeight="1" thickBot="1" x14ac:dyDescent="0.35">
      <c r="A55" s="33" t="s">
        <v>20</v>
      </c>
      <c r="B55" s="5" t="s">
        <v>37</v>
      </c>
      <c r="C55" s="5" t="s">
        <v>38</v>
      </c>
      <c r="D55" s="5" t="s">
        <v>39</v>
      </c>
      <c r="E55" s="6">
        <v>46370</v>
      </c>
      <c r="F55" s="6">
        <v>46424</v>
      </c>
      <c r="G55" s="6">
        <v>46432</v>
      </c>
      <c r="H55" s="30">
        <f t="shared" si="3"/>
        <v>46486</v>
      </c>
      <c r="I55" s="7">
        <v>0</v>
      </c>
      <c r="J55" s="7"/>
      <c r="K55" s="34" t="s">
        <v>22</v>
      </c>
      <c r="L55" s="27"/>
    </row>
    <row r="56" spans="1:12" ht="16.05" customHeight="1" thickBot="1" x14ac:dyDescent="0.35">
      <c r="A56" s="33" t="s">
        <v>21</v>
      </c>
      <c r="B56" s="5" t="s">
        <v>37</v>
      </c>
      <c r="C56" s="5" t="s">
        <v>38</v>
      </c>
      <c r="D56" s="5" t="s">
        <v>39</v>
      </c>
      <c r="E56" s="6">
        <v>46405</v>
      </c>
      <c r="F56" s="6">
        <v>46459</v>
      </c>
      <c r="G56" s="6">
        <v>46464</v>
      </c>
      <c r="H56" s="30">
        <f t="shared" si="3"/>
        <v>46520</v>
      </c>
      <c r="I56" s="7">
        <v>0</v>
      </c>
      <c r="J56" s="7"/>
      <c r="K56" s="34" t="s">
        <v>22</v>
      </c>
      <c r="L56" s="27"/>
    </row>
    <row r="57" spans="1:12" ht="16.05" customHeight="1" thickBot="1" x14ac:dyDescent="0.35">
      <c r="A57" s="33" t="s">
        <v>23</v>
      </c>
      <c r="B57" s="5" t="s">
        <v>37</v>
      </c>
      <c r="C57" s="5" t="s">
        <v>38</v>
      </c>
      <c r="D57" s="5" t="s">
        <v>39</v>
      </c>
      <c r="E57" s="6">
        <v>46440</v>
      </c>
      <c r="F57" s="6">
        <v>46494</v>
      </c>
      <c r="G57" s="6">
        <v>46499</v>
      </c>
      <c r="H57" s="30">
        <f t="shared" si="3"/>
        <v>46555</v>
      </c>
      <c r="I57" s="7">
        <v>0</v>
      </c>
      <c r="J57" s="7"/>
      <c r="K57" s="34" t="s">
        <v>22</v>
      </c>
      <c r="L57" s="27"/>
    </row>
    <row r="58" spans="1:12" ht="16.05" customHeight="1" thickBot="1" x14ac:dyDescent="0.35">
      <c r="A58" s="33" t="s">
        <v>24</v>
      </c>
      <c r="B58" s="5" t="s">
        <v>37</v>
      </c>
      <c r="C58" s="5" t="s">
        <v>38</v>
      </c>
      <c r="D58" s="5" t="s">
        <v>39</v>
      </c>
      <c r="E58" s="6">
        <v>46475</v>
      </c>
      <c r="F58" s="6">
        <v>46529</v>
      </c>
      <c r="G58" s="6">
        <v>46536</v>
      </c>
      <c r="H58" s="30">
        <f t="shared" si="3"/>
        <v>46591</v>
      </c>
      <c r="I58" s="7">
        <v>0</v>
      </c>
      <c r="J58" s="7"/>
      <c r="K58" s="34" t="s">
        <v>22</v>
      </c>
      <c r="L58" s="27"/>
    </row>
    <row r="59" spans="1:12" ht="16.05" customHeight="1" thickBot="1" x14ac:dyDescent="0.35">
      <c r="A59" s="33" t="s">
        <v>25</v>
      </c>
      <c r="B59" s="5" t="s">
        <v>37</v>
      </c>
      <c r="C59" s="5" t="s">
        <v>38</v>
      </c>
      <c r="D59" s="5" t="s">
        <v>39</v>
      </c>
      <c r="E59" s="6">
        <v>46510</v>
      </c>
      <c r="F59" s="6">
        <v>46564</v>
      </c>
      <c r="G59" s="6">
        <v>46571</v>
      </c>
      <c r="H59" s="30">
        <f t="shared" si="3"/>
        <v>46626</v>
      </c>
      <c r="I59" s="7">
        <v>0</v>
      </c>
      <c r="J59" s="7"/>
      <c r="K59" s="34" t="s">
        <v>22</v>
      </c>
      <c r="L59" s="27"/>
    </row>
    <row r="60" spans="1:12" ht="16.05" customHeight="1" thickBot="1" x14ac:dyDescent="0.35">
      <c r="A60" s="33" t="s">
        <v>26</v>
      </c>
      <c r="B60" s="5" t="s">
        <v>37</v>
      </c>
      <c r="C60" s="5" t="s">
        <v>38</v>
      </c>
      <c r="D60" s="5" t="s">
        <v>39</v>
      </c>
      <c r="E60" s="6">
        <v>46545</v>
      </c>
      <c r="F60" s="6">
        <v>46599</v>
      </c>
      <c r="G60" s="6">
        <v>46606</v>
      </c>
      <c r="H60" s="30">
        <f t="shared" si="3"/>
        <v>46661</v>
      </c>
      <c r="I60" s="7">
        <v>0</v>
      </c>
      <c r="J60" s="7"/>
      <c r="K60" s="34" t="s">
        <v>22</v>
      </c>
      <c r="L60" s="27"/>
    </row>
    <row r="61" spans="1:12" ht="16.05" customHeight="1" thickBot="1" x14ac:dyDescent="0.35">
      <c r="A61" s="35" t="s">
        <v>27</v>
      </c>
      <c r="B61" s="36" t="s">
        <v>37</v>
      </c>
      <c r="C61" s="36" t="s">
        <v>38</v>
      </c>
      <c r="D61" s="36" t="s">
        <v>39</v>
      </c>
      <c r="E61" s="37">
        <v>46580</v>
      </c>
      <c r="F61" s="37">
        <v>46634</v>
      </c>
      <c r="G61" s="37">
        <v>46642</v>
      </c>
      <c r="H61" s="30">
        <f>WORKDAY(G61,NETWORKDAYS(E61,F61))</f>
        <v>46696</v>
      </c>
      <c r="I61" s="38">
        <v>0</v>
      </c>
      <c r="J61" s="38"/>
      <c r="K61" s="39" t="s">
        <v>22</v>
      </c>
      <c r="L61" s="27"/>
    </row>
    <row r="62" spans="1:12" ht="16.05" customHeight="1" thickBot="1" x14ac:dyDescent="0.35">
      <c r="A62" s="14" t="s">
        <v>12</v>
      </c>
      <c r="B62" s="15" t="s">
        <v>40</v>
      </c>
      <c r="C62" s="15" t="s">
        <v>38</v>
      </c>
      <c r="D62" s="15" t="s">
        <v>39</v>
      </c>
      <c r="E62" s="16">
        <v>46286</v>
      </c>
      <c r="F62" s="16">
        <v>46340</v>
      </c>
      <c r="G62" s="16">
        <v>46347</v>
      </c>
      <c r="H62" s="16">
        <f>WORKDAY(G62,NETWORKDAYS(E62,F62))</f>
        <v>46402</v>
      </c>
      <c r="I62" s="17">
        <v>0</v>
      </c>
      <c r="J62" s="17"/>
      <c r="K62" s="18" t="s">
        <v>22</v>
      </c>
      <c r="L62" s="13"/>
    </row>
    <row r="63" spans="1:12" ht="16.05" customHeight="1" thickBot="1" x14ac:dyDescent="0.35">
      <c r="A63" s="19" t="s">
        <v>17</v>
      </c>
      <c r="B63" s="2" t="s">
        <v>40</v>
      </c>
      <c r="C63" s="2" t="s">
        <v>38</v>
      </c>
      <c r="D63" s="2" t="s">
        <v>39</v>
      </c>
      <c r="E63" s="3">
        <v>46363</v>
      </c>
      <c r="F63" s="3">
        <v>46417</v>
      </c>
      <c r="G63" s="3">
        <v>46425</v>
      </c>
      <c r="H63" s="16">
        <f t="shared" ref="H63:H70" si="4">WORKDAY(G63,NETWORKDAYS(E63,F63))</f>
        <v>46479</v>
      </c>
      <c r="I63" s="4">
        <v>0</v>
      </c>
      <c r="J63" s="4"/>
      <c r="K63" s="20" t="s">
        <v>22</v>
      </c>
      <c r="L63" s="13"/>
    </row>
    <row r="64" spans="1:12" ht="16.05" customHeight="1" thickBot="1" x14ac:dyDescent="0.35">
      <c r="A64" s="19" t="s">
        <v>19</v>
      </c>
      <c r="B64" s="2" t="s">
        <v>40</v>
      </c>
      <c r="C64" s="2" t="s">
        <v>38</v>
      </c>
      <c r="D64" s="2" t="s">
        <v>39</v>
      </c>
      <c r="E64" s="3">
        <v>46391</v>
      </c>
      <c r="F64" s="3">
        <v>46445</v>
      </c>
      <c r="G64" s="3">
        <v>46450</v>
      </c>
      <c r="H64" s="16">
        <f t="shared" si="4"/>
        <v>46506</v>
      </c>
      <c r="I64" s="4">
        <v>0</v>
      </c>
      <c r="J64" s="4"/>
      <c r="K64" s="20" t="s">
        <v>22</v>
      </c>
      <c r="L64" s="13"/>
    </row>
    <row r="65" spans="1:12" ht="16.05" customHeight="1" thickBot="1" x14ac:dyDescent="0.35">
      <c r="A65" s="19" t="s">
        <v>20</v>
      </c>
      <c r="B65" s="2" t="s">
        <v>40</v>
      </c>
      <c r="C65" s="2" t="s">
        <v>38</v>
      </c>
      <c r="D65" s="2" t="s">
        <v>39</v>
      </c>
      <c r="E65" s="3">
        <v>46426</v>
      </c>
      <c r="F65" s="3">
        <v>46480</v>
      </c>
      <c r="G65" s="3">
        <v>46485</v>
      </c>
      <c r="H65" s="16">
        <f t="shared" si="4"/>
        <v>46541</v>
      </c>
      <c r="I65" s="4">
        <v>0</v>
      </c>
      <c r="J65" s="4"/>
      <c r="K65" s="20" t="s">
        <v>22</v>
      </c>
      <c r="L65" s="13"/>
    </row>
    <row r="66" spans="1:12" ht="16.05" customHeight="1" thickBot="1" x14ac:dyDescent="0.35">
      <c r="A66" s="19" t="s">
        <v>21</v>
      </c>
      <c r="B66" s="2" t="s">
        <v>40</v>
      </c>
      <c r="C66" s="2" t="s">
        <v>38</v>
      </c>
      <c r="D66" s="2" t="s">
        <v>39</v>
      </c>
      <c r="E66" s="3">
        <v>46461</v>
      </c>
      <c r="F66" s="3">
        <v>46515</v>
      </c>
      <c r="G66" s="3">
        <v>46522</v>
      </c>
      <c r="H66" s="16">
        <f t="shared" si="4"/>
        <v>46577</v>
      </c>
      <c r="I66" s="4">
        <v>0</v>
      </c>
      <c r="J66" s="4"/>
      <c r="K66" s="20" t="s">
        <v>22</v>
      </c>
      <c r="L66" s="13"/>
    </row>
    <row r="67" spans="1:12" ht="16.05" customHeight="1" thickBot="1" x14ac:dyDescent="0.35">
      <c r="A67" s="19" t="s">
        <v>23</v>
      </c>
      <c r="B67" s="2" t="s">
        <v>40</v>
      </c>
      <c r="C67" s="2" t="s">
        <v>38</v>
      </c>
      <c r="D67" s="2" t="s">
        <v>39</v>
      </c>
      <c r="E67" s="3">
        <v>46496</v>
      </c>
      <c r="F67" s="3">
        <v>46550</v>
      </c>
      <c r="G67" s="3">
        <v>46557</v>
      </c>
      <c r="H67" s="16">
        <f t="shared" si="4"/>
        <v>46612</v>
      </c>
      <c r="I67" s="4">
        <v>0</v>
      </c>
      <c r="J67" s="4"/>
      <c r="K67" s="20" t="s">
        <v>22</v>
      </c>
      <c r="L67" s="13"/>
    </row>
    <row r="68" spans="1:12" ht="16.05" customHeight="1" thickBot="1" x14ac:dyDescent="0.35">
      <c r="A68" s="19" t="s">
        <v>24</v>
      </c>
      <c r="B68" s="2" t="s">
        <v>40</v>
      </c>
      <c r="C68" s="2" t="s">
        <v>38</v>
      </c>
      <c r="D68" s="2" t="s">
        <v>39</v>
      </c>
      <c r="E68" s="3">
        <v>46531</v>
      </c>
      <c r="F68" s="3">
        <v>46585</v>
      </c>
      <c r="G68" s="3">
        <v>46592</v>
      </c>
      <c r="H68" s="16">
        <f t="shared" si="4"/>
        <v>46647</v>
      </c>
      <c r="I68" s="4">
        <v>0</v>
      </c>
      <c r="J68" s="4"/>
      <c r="K68" s="20" t="s">
        <v>22</v>
      </c>
      <c r="L68" s="13"/>
    </row>
    <row r="69" spans="1:12" ht="16.05" customHeight="1" thickBot="1" x14ac:dyDescent="0.35">
      <c r="A69" s="19" t="s">
        <v>25</v>
      </c>
      <c r="B69" s="2" t="s">
        <v>40</v>
      </c>
      <c r="C69" s="2" t="s">
        <v>38</v>
      </c>
      <c r="D69" s="2" t="s">
        <v>39</v>
      </c>
      <c r="E69" s="3">
        <v>46566</v>
      </c>
      <c r="F69" s="3">
        <v>46620</v>
      </c>
      <c r="G69" s="3">
        <v>46627</v>
      </c>
      <c r="H69" s="16">
        <f t="shared" si="4"/>
        <v>46682</v>
      </c>
      <c r="I69" s="4">
        <v>0</v>
      </c>
      <c r="J69" s="4"/>
      <c r="K69" s="20" t="s">
        <v>22</v>
      </c>
      <c r="L69" s="13"/>
    </row>
    <row r="70" spans="1:12" ht="16.05" customHeight="1" thickBot="1" x14ac:dyDescent="0.35">
      <c r="A70" s="19" t="s">
        <v>26</v>
      </c>
      <c r="B70" s="2" t="s">
        <v>40</v>
      </c>
      <c r="C70" s="2" t="s">
        <v>38</v>
      </c>
      <c r="D70" s="2" t="s">
        <v>39</v>
      </c>
      <c r="E70" s="3">
        <v>46601</v>
      </c>
      <c r="F70" s="3">
        <v>46655</v>
      </c>
      <c r="G70" s="3">
        <v>46662</v>
      </c>
      <c r="H70" s="16">
        <f t="shared" si="4"/>
        <v>46717</v>
      </c>
      <c r="I70" s="4">
        <v>0</v>
      </c>
      <c r="J70" s="4"/>
      <c r="K70" s="20" t="s">
        <v>22</v>
      </c>
      <c r="L70" s="13"/>
    </row>
    <row r="71" spans="1:12" ht="16.05" customHeight="1" thickBot="1" x14ac:dyDescent="0.35">
      <c r="A71" s="21" t="s">
        <v>27</v>
      </c>
      <c r="B71" s="22" t="s">
        <v>40</v>
      </c>
      <c r="C71" s="22" t="s">
        <v>38</v>
      </c>
      <c r="D71" s="22" t="s">
        <v>39</v>
      </c>
      <c r="E71" s="23">
        <v>46636</v>
      </c>
      <c r="F71" s="23">
        <v>46690</v>
      </c>
      <c r="G71" s="23">
        <v>46697</v>
      </c>
      <c r="H71" s="16">
        <f>WORKDAY(G71,NETWORKDAYS(E71,F71))</f>
        <v>46752</v>
      </c>
      <c r="I71" s="24">
        <v>0</v>
      </c>
      <c r="J71" s="24"/>
      <c r="K71" s="25" t="s">
        <v>22</v>
      </c>
      <c r="L71" s="13"/>
    </row>
    <row r="72" spans="1:12" ht="16.05" customHeight="1" x14ac:dyDescent="0.3">
      <c r="A72" s="28" t="s">
        <v>12</v>
      </c>
      <c r="B72" s="29" t="s">
        <v>41</v>
      </c>
      <c r="C72" s="29" t="s">
        <v>42</v>
      </c>
      <c r="D72" s="29" t="s">
        <v>43</v>
      </c>
      <c r="E72" s="30">
        <v>46356</v>
      </c>
      <c r="F72" s="30">
        <v>46356</v>
      </c>
      <c r="G72" s="30">
        <v>46419</v>
      </c>
      <c r="H72" s="30">
        <v>46419</v>
      </c>
      <c r="I72" s="31">
        <v>0</v>
      </c>
      <c r="J72" s="31"/>
      <c r="K72" s="32" t="s">
        <v>22</v>
      </c>
      <c r="L72" s="27"/>
    </row>
    <row r="73" spans="1:12" ht="16.05" customHeight="1" x14ac:dyDescent="0.3">
      <c r="A73" s="33" t="s">
        <v>17</v>
      </c>
      <c r="B73" s="5" t="s">
        <v>41</v>
      </c>
      <c r="C73" s="5" t="s">
        <v>42</v>
      </c>
      <c r="D73" s="5" t="s">
        <v>43</v>
      </c>
      <c r="E73" s="6">
        <v>46433</v>
      </c>
      <c r="F73" s="6">
        <v>46433</v>
      </c>
      <c r="G73" s="6">
        <v>46492</v>
      </c>
      <c r="H73" s="6">
        <v>46492</v>
      </c>
      <c r="I73" s="7">
        <v>0</v>
      </c>
      <c r="J73" s="7"/>
      <c r="K73" s="34" t="s">
        <v>22</v>
      </c>
      <c r="L73" s="27"/>
    </row>
    <row r="74" spans="1:12" ht="16.05" customHeight="1" x14ac:dyDescent="0.3">
      <c r="A74" s="33" t="s">
        <v>19</v>
      </c>
      <c r="B74" s="5" t="s">
        <v>41</v>
      </c>
      <c r="C74" s="5" t="s">
        <v>42</v>
      </c>
      <c r="D74" s="5" t="s">
        <v>43</v>
      </c>
      <c r="E74" s="6">
        <v>46461</v>
      </c>
      <c r="F74" s="6">
        <v>46461</v>
      </c>
      <c r="G74" s="6">
        <v>46522</v>
      </c>
      <c r="H74" s="6">
        <v>46522</v>
      </c>
      <c r="I74" s="7">
        <v>0</v>
      </c>
      <c r="J74" s="7"/>
      <c r="K74" s="34" t="s">
        <v>22</v>
      </c>
      <c r="L74" s="27"/>
    </row>
    <row r="75" spans="1:12" ht="16.05" customHeight="1" x14ac:dyDescent="0.3">
      <c r="A75" s="33" t="s">
        <v>20</v>
      </c>
      <c r="B75" s="5" t="s">
        <v>41</v>
      </c>
      <c r="C75" s="5" t="s">
        <v>42</v>
      </c>
      <c r="D75" s="5" t="s">
        <v>43</v>
      </c>
      <c r="E75" s="6">
        <v>46496</v>
      </c>
      <c r="F75" s="6">
        <v>46496</v>
      </c>
      <c r="G75" s="6">
        <v>46557</v>
      </c>
      <c r="H75" s="6">
        <v>46557</v>
      </c>
      <c r="I75" s="7">
        <v>0</v>
      </c>
      <c r="J75" s="7"/>
      <c r="K75" s="34" t="s">
        <v>22</v>
      </c>
      <c r="L75" s="27"/>
    </row>
    <row r="76" spans="1:12" ht="16.05" customHeight="1" x14ac:dyDescent="0.3">
      <c r="A76" s="33" t="s">
        <v>21</v>
      </c>
      <c r="B76" s="5" t="s">
        <v>41</v>
      </c>
      <c r="C76" s="5" t="s">
        <v>42</v>
      </c>
      <c r="D76" s="5" t="s">
        <v>43</v>
      </c>
      <c r="E76" s="6">
        <v>46531</v>
      </c>
      <c r="F76" s="6">
        <v>46531</v>
      </c>
      <c r="G76" s="6">
        <v>46592</v>
      </c>
      <c r="H76" s="6">
        <v>46592</v>
      </c>
      <c r="I76" s="7">
        <v>0</v>
      </c>
      <c r="J76" s="7"/>
      <c r="K76" s="34" t="s">
        <v>22</v>
      </c>
      <c r="L76" s="27"/>
    </row>
    <row r="77" spans="1:12" ht="16.05" customHeight="1" x14ac:dyDescent="0.3">
      <c r="A77" s="33" t="s">
        <v>23</v>
      </c>
      <c r="B77" s="5" t="s">
        <v>41</v>
      </c>
      <c r="C77" s="5" t="s">
        <v>42</v>
      </c>
      <c r="D77" s="5" t="s">
        <v>43</v>
      </c>
      <c r="E77" s="6">
        <v>46566</v>
      </c>
      <c r="F77" s="6">
        <v>46566</v>
      </c>
      <c r="G77" s="6">
        <v>46627</v>
      </c>
      <c r="H77" s="6">
        <v>46627</v>
      </c>
      <c r="I77" s="7">
        <v>0</v>
      </c>
      <c r="J77" s="7"/>
      <c r="K77" s="34" t="s">
        <v>22</v>
      </c>
      <c r="L77" s="27"/>
    </row>
    <row r="78" spans="1:12" ht="16.05" customHeight="1" x14ac:dyDescent="0.3">
      <c r="A78" s="33" t="s">
        <v>24</v>
      </c>
      <c r="B78" s="5" t="s">
        <v>41</v>
      </c>
      <c r="C78" s="5" t="s">
        <v>42</v>
      </c>
      <c r="D78" s="5" t="s">
        <v>43</v>
      </c>
      <c r="E78" s="6">
        <v>46601</v>
      </c>
      <c r="F78" s="6">
        <v>46601</v>
      </c>
      <c r="G78" s="6">
        <v>46662</v>
      </c>
      <c r="H78" s="6">
        <v>46662</v>
      </c>
      <c r="I78" s="7">
        <v>0</v>
      </c>
      <c r="J78" s="7"/>
      <c r="K78" s="34" t="s">
        <v>22</v>
      </c>
      <c r="L78" s="27"/>
    </row>
    <row r="79" spans="1:12" ht="16.05" customHeight="1" x14ac:dyDescent="0.3">
      <c r="A79" s="33" t="s">
        <v>25</v>
      </c>
      <c r="B79" s="5" t="s">
        <v>41</v>
      </c>
      <c r="C79" s="5" t="s">
        <v>42</v>
      </c>
      <c r="D79" s="5" t="s">
        <v>43</v>
      </c>
      <c r="E79" s="6">
        <v>46635</v>
      </c>
      <c r="F79" s="6">
        <v>46635</v>
      </c>
      <c r="G79" s="6">
        <v>46696</v>
      </c>
      <c r="H79" s="6">
        <v>46696</v>
      </c>
      <c r="I79" s="7">
        <v>0</v>
      </c>
      <c r="J79" s="7"/>
      <c r="K79" s="34" t="s">
        <v>22</v>
      </c>
      <c r="L79" s="27"/>
    </row>
    <row r="80" spans="1:12" ht="16.05" customHeight="1" x14ac:dyDescent="0.3">
      <c r="A80" s="33" t="s">
        <v>26</v>
      </c>
      <c r="B80" s="5" t="s">
        <v>41</v>
      </c>
      <c r="C80" s="5" t="s">
        <v>42</v>
      </c>
      <c r="D80" s="5" t="s">
        <v>43</v>
      </c>
      <c r="E80" s="6">
        <v>46671</v>
      </c>
      <c r="F80" s="6">
        <v>46671</v>
      </c>
      <c r="G80" s="6">
        <v>46732</v>
      </c>
      <c r="H80" s="6">
        <v>46732</v>
      </c>
      <c r="I80" s="7">
        <v>0</v>
      </c>
      <c r="J80" s="7"/>
      <c r="K80" s="34" t="s">
        <v>22</v>
      </c>
      <c r="L80" s="27"/>
    </row>
    <row r="81" spans="1:12" ht="16.05" customHeight="1" thickBot="1" x14ac:dyDescent="0.35">
      <c r="A81" s="35" t="s">
        <v>27</v>
      </c>
      <c r="B81" s="36" t="s">
        <v>41</v>
      </c>
      <c r="C81" s="36" t="s">
        <v>42</v>
      </c>
      <c r="D81" s="36" t="s">
        <v>43</v>
      </c>
      <c r="E81" s="37">
        <v>46706</v>
      </c>
      <c r="F81" s="37">
        <v>46706</v>
      </c>
      <c r="G81" s="37">
        <v>46767</v>
      </c>
      <c r="H81" s="37">
        <v>46767</v>
      </c>
      <c r="I81" s="38">
        <v>0</v>
      </c>
      <c r="J81" s="38"/>
      <c r="K81" s="39" t="s">
        <v>22</v>
      </c>
      <c r="L81" s="27"/>
    </row>
  </sheetData>
  <autoFilter ref="A1:L8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workbookViewId="0">
      <selection activeCell="A27" sqref="A27"/>
    </sheetView>
  </sheetViews>
  <sheetFormatPr defaultRowHeight="14.4" x14ac:dyDescent="0.3"/>
  <cols>
    <col min="1" max="1" width="70" customWidth="1"/>
  </cols>
  <sheetData>
    <row r="1" spans="1:1" ht="18" customHeight="1" x14ac:dyDescent="0.3">
      <c r="A1" s="8" t="s">
        <v>44</v>
      </c>
    </row>
    <row r="2" spans="1:1" ht="18" customHeight="1" x14ac:dyDescent="0.3">
      <c r="A2" s="9"/>
    </row>
    <row r="3" spans="1:1" ht="18" customHeight="1" x14ac:dyDescent="0.3">
      <c r="A3" s="10" t="s">
        <v>45</v>
      </c>
    </row>
    <row r="4" spans="1:1" ht="18" customHeight="1" x14ac:dyDescent="0.3">
      <c r="A4" s="11" t="s">
        <v>46</v>
      </c>
    </row>
    <row r="5" spans="1:1" ht="18" customHeight="1" x14ac:dyDescent="0.3">
      <c r="A5" s="11" t="s">
        <v>47</v>
      </c>
    </row>
    <row r="6" spans="1:1" ht="18" customHeight="1" x14ac:dyDescent="0.3">
      <c r="A6" s="11" t="s">
        <v>48</v>
      </c>
    </row>
    <row r="7" spans="1:1" ht="18" customHeight="1" x14ac:dyDescent="0.3">
      <c r="A7" s="11" t="s">
        <v>49</v>
      </c>
    </row>
    <row r="8" spans="1:1" ht="18" customHeight="1" x14ac:dyDescent="0.3">
      <c r="A8" s="11" t="s">
        <v>50</v>
      </c>
    </row>
    <row r="9" spans="1:1" ht="18" customHeight="1" x14ac:dyDescent="0.3">
      <c r="A9" s="11" t="s">
        <v>51</v>
      </c>
    </row>
    <row r="10" spans="1:1" ht="18" customHeight="1" x14ac:dyDescent="0.3">
      <c r="A10" s="11" t="s">
        <v>52</v>
      </c>
    </row>
    <row r="11" spans="1:1" ht="18" customHeight="1" x14ac:dyDescent="0.3">
      <c r="A11" s="11" t="s">
        <v>53</v>
      </c>
    </row>
    <row r="12" spans="1:1" ht="18" customHeight="1" x14ac:dyDescent="0.3">
      <c r="A12" s="11" t="s">
        <v>54</v>
      </c>
    </row>
    <row r="13" spans="1:1" ht="18" customHeight="1" x14ac:dyDescent="0.3">
      <c r="A13" s="11" t="s">
        <v>55</v>
      </c>
    </row>
    <row r="14" spans="1:1" ht="18" customHeight="1" x14ac:dyDescent="0.3">
      <c r="A14" s="11" t="s">
        <v>56</v>
      </c>
    </row>
    <row r="15" spans="1:1" ht="18" customHeight="1" x14ac:dyDescent="0.3">
      <c r="A15" s="11" t="s">
        <v>57</v>
      </c>
    </row>
    <row r="16" spans="1:1" ht="18" customHeight="1" x14ac:dyDescent="0.3">
      <c r="A16" s="9"/>
    </row>
    <row r="17" spans="1:1" ht="18" customHeight="1" x14ac:dyDescent="0.3">
      <c r="A17" s="10" t="s">
        <v>58</v>
      </c>
    </row>
    <row r="18" spans="1:1" ht="16.05" customHeight="1" x14ac:dyDescent="0.3">
      <c r="A18" s="12" t="s">
        <v>59</v>
      </c>
    </row>
    <row r="19" spans="1:1" ht="16.05" customHeight="1" x14ac:dyDescent="0.3">
      <c r="A19" s="12" t="s">
        <v>60</v>
      </c>
    </row>
    <row r="20" spans="1:1" ht="16.05" customHeight="1" x14ac:dyDescent="0.3">
      <c r="A20" s="12" t="s">
        <v>61</v>
      </c>
    </row>
    <row r="21" spans="1:1" ht="16.05" customHeight="1" x14ac:dyDescent="0.3">
      <c r="A21" s="12" t="s">
        <v>62</v>
      </c>
    </row>
    <row r="22" spans="1:1" ht="16.05" customHeight="1" x14ac:dyDescent="0.3">
      <c r="A22" s="12" t="s">
        <v>63</v>
      </c>
    </row>
    <row r="23" spans="1:1" ht="16.05" customHeight="1" x14ac:dyDescent="0.3">
      <c r="A23" s="12" t="s">
        <v>64</v>
      </c>
    </row>
    <row r="24" spans="1:1" ht="16.05" customHeight="1" x14ac:dyDescent="0.3">
      <c r="A24" s="12" t="s">
        <v>65</v>
      </c>
    </row>
    <row r="25" spans="1:1" ht="16.05" customHeight="1" x14ac:dyDescent="0.3">
      <c r="A25" s="12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Cronograma_Fase2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Reynaga Gil</cp:lastModifiedBy>
  <dcterms:created xsi:type="dcterms:W3CDTF">2026-06-29T17:24:59Z</dcterms:created>
  <dcterms:modified xsi:type="dcterms:W3CDTF">2026-06-30T23:17:15Z</dcterms:modified>
</cp:coreProperties>
</file>